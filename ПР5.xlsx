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Информационные технологии\"/>
    </mc:Choice>
  </mc:AlternateContent>
  <bookViews>
    <workbookView xWindow="0" yWindow="0" windowWidth="41280" windowHeight="13512"/>
  </bookViews>
  <sheets>
    <sheet name="Математика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7" i="1" l="1"/>
  <c r="AA6" i="1"/>
  <c r="AA5" i="1"/>
  <c r="AA4" i="1"/>
  <c r="AA3" i="1"/>
  <c r="AA2" i="1"/>
  <c r="AA1" i="1"/>
  <c r="Z3" i="1"/>
  <c r="Z4" i="1"/>
  <c r="Z5" i="1"/>
  <c r="Z6" i="1"/>
  <c r="Z7" i="1"/>
  <c r="Z8" i="1"/>
  <c r="Z2" i="1"/>
  <c r="X8" i="1"/>
  <c r="X3" i="1"/>
  <c r="X4" i="1"/>
  <c r="X5" i="1"/>
  <c r="X6" i="1"/>
  <c r="X7" i="1"/>
  <c r="X2" i="1"/>
  <c r="T6" i="1"/>
  <c r="T4" i="1" l="1"/>
  <c r="T5" i="1"/>
  <c r="I3" i="1" l="1"/>
  <c r="I4" i="1"/>
  <c r="I5" i="1"/>
  <c r="I6" i="1"/>
  <c r="I7" i="1"/>
  <c r="I8" i="1"/>
  <c r="I2" i="1"/>
  <c r="H3" i="1"/>
  <c r="H4" i="1"/>
  <c r="H5" i="1"/>
  <c r="H6" i="1"/>
  <c r="H7" i="1"/>
  <c r="H8" i="1"/>
  <c r="H2" i="1"/>
  <c r="G3" i="1"/>
  <c r="G4" i="1"/>
  <c r="G5" i="1"/>
  <c r="G6" i="1"/>
  <c r="G7" i="1"/>
  <c r="G8" i="1"/>
  <c r="G2" i="1"/>
  <c r="F3" i="1"/>
  <c r="F4" i="1"/>
  <c r="F5" i="1"/>
  <c r="F6" i="1"/>
  <c r="F7" i="1"/>
  <c r="F8" i="1"/>
  <c r="F2" i="1"/>
</calcChain>
</file>

<file path=xl/sharedStrings.xml><?xml version="1.0" encoding="utf-8"?>
<sst xmlns="http://schemas.openxmlformats.org/spreadsheetml/2006/main" count="14" uniqueCount="14">
  <si>
    <t>№ Детали</t>
  </si>
  <si>
    <t>Радиус R(мм)</t>
  </si>
  <si>
    <t>Высота h(мм)</t>
  </si>
  <si>
    <t>Длина L (мм)</t>
  </si>
  <si>
    <t>Масса m (кг)</t>
  </si>
  <si>
    <t>№ п/п</t>
  </si>
  <si>
    <t>Диаметр (мм)</t>
  </si>
  <si>
    <t>Объём (мм³)</t>
  </si>
  <si>
    <t>√V</t>
  </si>
  <si>
    <t>|m − 3|</t>
  </si>
  <si>
    <t>=ЛН (2)/ ЛН (1+T2)</t>
  </si>
  <si>
    <t>Длина дуги</t>
  </si>
  <si>
    <t>Дуга через РАДИАНЫ</t>
  </si>
  <si>
    <t>=СТЕПЕНЬ(ПИ()/3)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</si>
</sst>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theme="2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theme="2" tint="-9.9978637043366805E-2"/>
      </left>
      <right/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64" fontId="0" fillId="0" borderId="0" xfId="0" applyNumberFormat="1"/>
    <xf numFmtId="164" fontId="2" fillId="0" borderId="0" xfId="0" applyNumberFormat="1" applyFont="1"/>
    <xf numFmtId="0" fontId="2" fillId="0" borderId="0" xfId="0" applyFont="1"/>
    <xf numFmtId="164" fontId="2" fillId="0" borderId="1" xfId="0" applyNumberFormat="1" applyFont="1" applyBorder="1"/>
    <xf numFmtId="164" fontId="2" fillId="0" borderId="2" xfId="0" applyNumberFormat="1" applyFont="1" applyBorder="1"/>
    <xf numFmtId="164" fontId="1" fillId="2" borderId="3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64" fontId="0" fillId="0" borderId="3" xfId="0" applyNumberFormat="1" applyBorder="1"/>
    <xf numFmtId="0" fontId="0" fillId="0" borderId="3" xfId="0" applyBorder="1"/>
    <xf numFmtId="164" fontId="0" fillId="0" borderId="3" xfId="0" applyNumberFormat="1" applyFill="1" applyBorder="1"/>
    <xf numFmtId="0" fontId="1" fillId="3" borderId="0" xfId="0" applyFont="1" applyFill="1" applyBorder="1" applyAlignment="1">
      <alignment horizontal="center"/>
    </xf>
    <xf numFmtId="0" fontId="0" fillId="0" borderId="0" xfId="0" applyBorder="1"/>
    <xf numFmtId="9" fontId="0" fillId="0" borderId="0" xfId="0" applyNumberFormat="1"/>
    <xf numFmtId="2" fontId="0" fillId="0" borderId="0" xfId="0" applyNumberFormat="1"/>
    <xf numFmtId="0" fontId="0" fillId="0" borderId="0" xfId="0" quotePrefix="1"/>
    <xf numFmtId="1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FF66"/>
      <color rgb="FFFFCC99"/>
      <color rgb="FF8B3505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4"/>
  <sheetViews>
    <sheetView tabSelected="1" zoomScaleNormal="100" workbookViewId="0">
      <selection activeCell="B15" sqref="B15"/>
    </sheetView>
  </sheetViews>
  <sheetFormatPr defaultRowHeight="14.4" x14ac:dyDescent="0.3"/>
  <cols>
    <col min="1" max="5" width="25.88671875" style="1" customWidth="1"/>
    <col min="6" max="6" width="18" customWidth="1"/>
    <col min="7" max="7" width="15.21875" customWidth="1"/>
    <col min="8" max="8" width="12.88671875" customWidth="1"/>
    <col min="9" max="11" width="8.88671875" customWidth="1"/>
    <col min="12" max="12" width="11.21875" customWidth="1"/>
    <col min="24" max="24" width="19.33203125" customWidth="1"/>
    <col min="26" max="26" width="21.33203125" customWidth="1"/>
  </cols>
  <sheetData>
    <row r="1" spans="1:27" x14ac:dyDescent="0.3">
      <c r="A1" s="6" t="s">
        <v>0</v>
      </c>
      <c r="B1" s="6" t="s">
        <v>1</v>
      </c>
      <c r="C1" s="6" t="s">
        <v>2</v>
      </c>
      <c r="D1" s="6" t="s">
        <v>4</v>
      </c>
      <c r="E1" s="6" t="s">
        <v>3</v>
      </c>
      <c r="F1" s="6" t="s">
        <v>6</v>
      </c>
      <c r="G1" s="6" t="s">
        <v>7</v>
      </c>
      <c r="H1" s="6" t="s">
        <v>8</v>
      </c>
      <c r="I1" s="7" t="s">
        <v>9</v>
      </c>
      <c r="J1" s="11"/>
      <c r="K1" s="7">
        <v>3</v>
      </c>
      <c r="L1" s="6" t="s">
        <v>5</v>
      </c>
      <c r="T1">
        <v>100000</v>
      </c>
      <c r="X1" t="s">
        <v>11</v>
      </c>
      <c r="Y1">
        <v>60</v>
      </c>
      <c r="Z1" t="s">
        <v>12</v>
      </c>
      <c r="AA1" s="1">
        <f>SUM(D2:D8)</f>
        <v>21.799999999999997</v>
      </c>
    </row>
    <row r="2" spans="1:27" x14ac:dyDescent="0.3">
      <c r="A2" s="8">
        <v>1</v>
      </c>
      <c r="B2" s="8">
        <v>12.5</v>
      </c>
      <c r="C2" s="8">
        <v>30</v>
      </c>
      <c r="D2" s="8">
        <v>2.4</v>
      </c>
      <c r="E2" s="8">
        <v>145</v>
      </c>
      <c r="F2" s="9">
        <f>2*B2</f>
        <v>25</v>
      </c>
      <c r="G2" s="10">
        <f>PI()*POWER(B2,2)*C2</f>
        <v>14726.215563702155</v>
      </c>
      <c r="H2" s="9">
        <f>SQRT(G2)</f>
        <v>121.3516195347312</v>
      </c>
      <c r="I2" s="9">
        <f>ABS(D2-$K$1)</f>
        <v>0.60000000000000009</v>
      </c>
      <c r="J2" s="12"/>
      <c r="K2" s="9"/>
      <c r="L2" s="10">
        <v>1</v>
      </c>
      <c r="T2" s="13">
        <v>0.12</v>
      </c>
      <c r="X2">
        <f>PI()*B2*$Y$1/180</f>
        <v>13.089969389957471</v>
      </c>
      <c r="Z2">
        <f>B2*RADIANS($Y$1)</f>
        <v>13.089969389957471</v>
      </c>
      <c r="AA2">
        <f xml:space="preserve"> SUMIF(D2:D8,"&gt;2")</f>
        <v>18.100000000000001</v>
      </c>
    </row>
    <row r="3" spans="1:27" x14ac:dyDescent="0.3">
      <c r="A3" s="8">
        <v>2</v>
      </c>
      <c r="B3" s="8">
        <v>8.3000000000000007</v>
      </c>
      <c r="C3" s="8">
        <v>25</v>
      </c>
      <c r="D3" s="8">
        <v>1.1000000000000001</v>
      </c>
      <c r="E3" s="8">
        <v>98</v>
      </c>
      <c r="F3" s="9">
        <f t="shared" ref="F3:F8" si="0">2*B3</f>
        <v>16.600000000000001</v>
      </c>
      <c r="G3" s="10">
        <f t="shared" ref="G3:G8" si="1">PI()*POWER(B3,2)*C3</f>
        <v>5410.6079476450223</v>
      </c>
      <c r="H3" s="9">
        <f t="shared" ref="H3:H8" si="2">SQRT(G3)</f>
        <v>73.556834812578927</v>
      </c>
      <c r="I3" s="9">
        <f t="shared" ref="I3:I8" si="3">ABS(D3-$K$1)</f>
        <v>1.9</v>
      </c>
      <c r="J3" s="12"/>
      <c r="K3" s="9"/>
      <c r="L3" s="10">
        <v>2</v>
      </c>
      <c r="T3" s="14">
        <v>5</v>
      </c>
      <c r="X3">
        <f t="shared" ref="X3:X7" si="4">PI()*B3*$Y$1/180</f>
        <v>8.6917396749317621</v>
      </c>
      <c r="Z3">
        <f t="shared" ref="Z3:Z8" si="5">B3*RADIANS($Y$1)</f>
        <v>8.6917396749317604</v>
      </c>
      <c r="AA3">
        <f>SUMPRODUCT(D2:D8,E2:E8)/SUM(E2:E8)</f>
        <v>4.0744612928970474</v>
      </c>
    </row>
    <row r="4" spans="1:27" x14ac:dyDescent="0.3">
      <c r="A4" s="8">
        <v>3</v>
      </c>
      <c r="B4" s="8">
        <v>15.7</v>
      </c>
      <c r="C4" s="8">
        <v>40</v>
      </c>
      <c r="D4" s="8">
        <v>4</v>
      </c>
      <c r="E4" s="8">
        <v>210</v>
      </c>
      <c r="F4" s="9">
        <f t="shared" si="0"/>
        <v>31.4</v>
      </c>
      <c r="G4" s="10">
        <f t="shared" si="1"/>
        <v>30974.846927333921</v>
      </c>
      <c r="H4" s="9">
        <f t="shared" si="2"/>
        <v>175.99672419489494</v>
      </c>
      <c r="I4" s="9">
        <f t="shared" si="3"/>
        <v>1</v>
      </c>
      <c r="J4" s="12"/>
      <c r="K4" s="9"/>
      <c r="L4" s="10">
        <v>3</v>
      </c>
      <c r="T4">
        <f>T1*POWER(1+T2,T3)</f>
        <v>176234.16832000006</v>
      </c>
      <c r="X4">
        <f t="shared" si="4"/>
        <v>16.441001553786581</v>
      </c>
      <c r="Z4">
        <f t="shared" si="5"/>
        <v>16.441001553786581</v>
      </c>
      <c r="AA4">
        <f>COUNTIF(D2:D8,"&gt;2")</f>
        <v>4</v>
      </c>
    </row>
    <row r="5" spans="1:27" x14ac:dyDescent="0.3">
      <c r="A5" s="8">
        <v>4</v>
      </c>
      <c r="B5" s="8">
        <v>6.2</v>
      </c>
      <c r="C5" s="8">
        <v>18</v>
      </c>
      <c r="D5" s="8">
        <v>0.7</v>
      </c>
      <c r="E5" s="8">
        <v>75</v>
      </c>
      <c r="F5" s="9">
        <f t="shared" si="0"/>
        <v>12.4</v>
      </c>
      <c r="G5" s="10">
        <f t="shared" si="1"/>
        <v>2173.7307888718501</v>
      </c>
      <c r="H5" s="9">
        <f t="shared" si="2"/>
        <v>46.623285908136616</v>
      </c>
      <c r="I5" s="9">
        <f t="shared" si="3"/>
        <v>2.2999999999999998</v>
      </c>
      <c r="J5" s="12"/>
      <c r="K5" s="9"/>
      <c r="L5" s="10">
        <v>4</v>
      </c>
      <c r="T5" t="e">
        <f ca="1">T1*ЭКСП(T2*T3)</f>
        <v>#NAME?</v>
      </c>
      <c r="X5">
        <f t="shared" si="4"/>
        <v>6.4926248174189052</v>
      </c>
      <c r="Z5">
        <f t="shared" si="5"/>
        <v>6.4926248174189052</v>
      </c>
      <c r="AA5" s="1">
        <f>AVERAGE(D2:D8)</f>
        <v>3.1142857142857139</v>
      </c>
    </row>
    <row r="6" spans="1:27" x14ac:dyDescent="0.3">
      <c r="A6" s="8">
        <v>5</v>
      </c>
      <c r="B6" s="8">
        <v>20.100000000000001</v>
      </c>
      <c r="C6" s="8">
        <v>55</v>
      </c>
      <c r="D6" s="8">
        <v>6.5</v>
      </c>
      <c r="E6" s="8">
        <v>320</v>
      </c>
      <c r="F6" s="9">
        <f t="shared" si="0"/>
        <v>40.200000000000003</v>
      </c>
      <c r="G6" s="10">
        <f t="shared" si="1"/>
        <v>69807.916638724681</v>
      </c>
      <c r="H6" s="9">
        <f t="shared" si="2"/>
        <v>264.21187830740064</v>
      </c>
      <c r="I6" s="9">
        <f t="shared" si="3"/>
        <v>3.5</v>
      </c>
      <c r="J6" s="12"/>
      <c r="K6" s="9"/>
      <c r="L6" s="10">
        <v>5</v>
      </c>
      <c r="T6">
        <f>72/(T2*100)</f>
        <v>6</v>
      </c>
      <c r="X6">
        <f t="shared" si="4"/>
        <v>21.048670779051616</v>
      </c>
      <c r="Z6">
        <f t="shared" si="5"/>
        <v>21.048670779051612</v>
      </c>
      <c r="AA6" s="1">
        <f>MAX(D2:D8)</f>
        <v>6.5</v>
      </c>
    </row>
    <row r="7" spans="1:27" x14ac:dyDescent="0.3">
      <c r="A7" s="8">
        <v>6</v>
      </c>
      <c r="B7" s="8">
        <v>10.4</v>
      </c>
      <c r="C7" s="8">
        <v>28</v>
      </c>
      <c r="D7" s="8">
        <v>1.9</v>
      </c>
      <c r="E7" s="8">
        <v>130</v>
      </c>
      <c r="F7" s="9">
        <f t="shared" si="0"/>
        <v>20.8</v>
      </c>
      <c r="G7" s="10">
        <f t="shared" si="1"/>
        <v>9514.250519543617</v>
      </c>
      <c r="H7" s="9">
        <f t="shared" si="2"/>
        <v>97.541019676562826</v>
      </c>
      <c r="I7" s="9">
        <f t="shared" si="3"/>
        <v>1.1000000000000001</v>
      </c>
      <c r="J7" s="12"/>
      <c r="K7" s="9"/>
      <c r="L7" s="10">
        <v>6</v>
      </c>
      <c r="T7" s="15" t="s">
        <v>10</v>
      </c>
      <c r="X7">
        <f t="shared" si="4"/>
        <v>10.890854532444616</v>
      </c>
      <c r="Z7">
        <f t="shared" si="5"/>
        <v>10.890854532444616</v>
      </c>
      <c r="AA7" s="1">
        <f>MIN(D2:D8)</f>
        <v>0.7</v>
      </c>
    </row>
    <row r="8" spans="1:27" x14ac:dyDescent="0.3">
      <c r="A8" s="8">
        <v>7</v>
      </c>
      <c r="B8" s="8">
        <v>18.899999999999999</v>
      </c>
      <c r="C8" s="8">
        <v>48</v>
      </c>
      <c r="D8" s="8">
        <v>5.2</v>
      </c>
      <c r="E8" s="8">
        <v>275</v>
      </c>
      <c r="F8" s="9">
        <f t="shared" si="0"/>
        <v>37.799999999999997</v>
      </c>
      <c r="G8" s="10">
        <f t="shared" si="1"/>
        <v>53865.998965862877</v>
      </c>
      <c r="H8" s="9">
        <f t="shared" si="2"/>
        <v>232.09049736226359</v>
      </c>
      <c r="I8" s="9">
        <f t="shared" si="3"/>
        <v>2.2000000000000002</v>
      </c>
      <c r="J8" s="12"/>
      <c r="K8" s="9"/>
      <c r="L8" s="10">
        <v>7</v>
      </c>
      <c r="X8">
        <f>PI()*B8*$Y$1/180</f>
        <v>19.792033717615695</v>
      </c>
      <c r="Z8">
        <f t="shared" si="5"/>
        <v>19.792033717615695</v>
      </c>
    </row>
    <row r="9" spans="1:27" x14ac:dyDescent="0.3">
      <c r="B9" s="2"/>
      <c r="C9" s="2"/>
      <c r="D9" s="2"/>
      <c r="E9" s="2"/>
      <c r="F9" s="3"/>
      <c r="G9" s="3"/>
      <c r="H9" s="3"/>
      <c r="I9" s="3"/>
      <c r="J9" s="3"/>
      <c r="K9" s="3"/>
      <c r="L9" s="3"/>
      <c r="M9" s="3"/>
    </row>
    <row r="10" spans="1:27" x14ac:dyDescent="0.3">
      <c r="B10" s="4"/>
      <c r="C10" s="5"/>
      <c r="D10" s="2"/>
      <c r="E10" s="2"/>
      <c r="F10" s="3"/>
      <c r="G10" s="3"/>
      <c r="H10" s="3"/>
      <c r="I10" s="3"/>
      <c r="J10" s="3"/>
      <c r="K10" s="3"/>
      <c r="L10" s="3"/>
      <c r="M10" s="3"/>
      <c r="Z10" s="15" t="s">
        <v>13</v>
      </c>
    </row>
    <row r="11" spans="1:27" x14ac:dyDescent="0.3">
      <c r="A11" s="1">
        <v>500000</v>
      </c>
      <c r="B11"/>
      <c r="C11"/>
      <c r="D11"/>
      <c r="E11"/>
    </row>
    <row r="12" spans="1:27" x14ac:dyDescent="0.3">
      <c r="A12" s="16">
        <v>0.18</v>
      </c>
      <c r="B12"/>
      <c r="C12"/>
      <c r="D12"/>
      <c r="E12"/>
    </row>
    <row r="13" spans="1:27" x14ac:dyDescent="0.3">
      <c r="A13" s="1">
        <v>3</v>
      </c>
      <c r="B13"/>
      <c r="C13"/>
      <c r="D13"/>
      <c r="E13"/>
    </row>
    <row r="14" spans="1:27" x14ac:dyDescent="0.3">
      <c r="B14"/>
      <c r="C14"/>
      <c r="D14"/>
      <c r="E14"/>
    </row>
    <row r="15" spans="1:27" x14ac:dyDescent="0.3">
      <c r="B15"/>
      <c r="C15"/>
      <c r="D15"/>
      <c r="E15"/>
    </row>
    <row r="16" spans="1:27" x14ac:dyDescent="0.3">
      <c r="B16"/>
      <c r="C16"/>
      <c r="D16"/>
      <c r="E16"/>
    </row>
    <row r="17" spans="2:5" x14ac:dyDescent="0.3">
      <c r="B17"/>
      <c r="C17"/>
      <c r="D17"/>
      <c r="E17"/>
    </row>
    <row r="18" spans="2:5" x14ac:dyDescent="0.3">
      <c r="B18"/>
      <c r="C18"/>
      <c r="D18"/>
      <c r="E18"/>
    </row>
    <row r="19" spans="2:5" x14ac:dyDescent="0.3">
      <c r="B19"/>
      <c r="C19"/>
      <c r="D19"/>
      <c r="E19"/>
    </row>
    <row r="20" spans="2:5" x14ac:dyDescent="0.3">
      <c r="B20"/>
      <c r="C20"/>
      <c r="D20"/>
      <c r="E20"/>
    </row>
    <row r="21" spans="2:5" x14ac:dyDescent="0.3">
      <c r="B21"/>
      <c r="C21"/>
      <c r="D21"/>
      <c r="E21"/>
    </row>
    <row r="22" spans="2:5" x14ac:dyDescent="0.3">
      <c r="B22"/>
      <c r="C22"/>
      <c r="D22"/>
      <c r="E22"/>
    </row>
    <row r="23" spans="2:5" x14ac:dyDescent="0.3">
      <c r="B23"/>
      <c r="C23"/>
      <c r="D23"/>
      <c r="E23"/>
    </row>
    <row r="24" spans="2:5" x14ac:dyDescent="0.3">
      <c r="B24"/>
      <c r="C24"/>
      <c r="D24"/>
      <c r="E24"/>
    </row>
    <row r="25" spans="2:5" x14ac:dyDescent="0.3">
      <c r="B25"/>
      <c r="C25"/>
      <c r="D25"/>
      <c r="E25"/>
    </row>
    <row r="26" spans="2:5" x14ac:dyDescent="0.3">
      <c r="B26"/>
      <c r="C26"/>
      <c r="D26"/>
      <c r="E26"/>
    </row>
    <row r="27" spans="2:5" x14ac:dyDescent="0.3">
      <c r="B27"/>
      <c r="C27"/>
      <c r="D27"/>
      <c r="E27"/>
    </row>
    <row r="28" spans="2:5" x14ac:dyDescent="0.3">
      <c r="B28"/>
      <c r="C28"/>
      <c r="D28"/>
      <c r="E28"/>
    </row>
    <row r="29" spans="2:5" x14ac:dyDescent="0.3">
      <c r="B29"/>
      <c r="C29"/>
      <c r="D29"/>
      <c r="E29"/>
    </row>
    <row r="30" spans="2:5" x14ac:dyDescent="0.3">
      <c r="B30"/>
      <c r="C30"/>
      <c r="D30"/>
      <c r="E30"/>
    </row>
    <row r="31" spans="2:5" x14ac:dyDescent="0.3">
      <c r="B31"/>
      <c r="C31"/>
      <c r="D31"/>
      <c r="E31"/>
    </row>
    <row r="32" spans="2:5" x14ac:dyDescent="0.3">
      <c r="B32"/>
      <c r="C32"/>
      <c r="D32"/>
      <c r="E32"/>
    </row>
    <row r="33" spans="2:5" x14ac:dyDescent="0.3">
      <c r="B33"/>
      <c r="C33"/>
      <c r="D33"/>
      <c r="E33"/>
    </row>
    <row r="34" spans="2:5" x14ac:dyDescent="0.3">
      <c r="B34"/>
      <c r="C34"/>
      <c r="D34"/>
      <c r="E34"/>
    </row>
    <row r="35" spans="2:5" x14ac:dyDescent="0.3">
      <c r="B35"/>
      <c r="C35"/>
      <c r="D35"/>
      <c r="E35"/>
    </row>
    <row r="36" spans="2:5" x14ac:dyDescent="0.3">
      <c r="B36"/>
      <c r="C36"/>
      <c r="D36"/>
      <c r="E36"/>
    </row>
    <row r="37" spans="2:5" x14ac:dyDescent="0.3">
      <c r="B37"/>
      <c r="C37"/>
      <c r="D37"/>
      <c r="E37"/>
    </row>
    <row r="38" spans="2:5" x14ac:dyDescent="0.3">
      <c r="B38"/>
      <c r="C38"/>
      <c r="D38"/>
      <c r="E38"/>
    </row>
    <row r="39" spans="2:5" x14ac:dyDescent="0.3">
      <c r="B39"/>
      <c r="C39"/>
      <c r="D39"/>
      <c r="E39"/>
    </row>
    <row r="40" spans="2:5" x14ac:dyDescent="0.3">
      <c r="B40"/>
      <c r="C40"/>
      <c r="D40"/>
      <c r="E40"/>
    </row>
    <row r="41" spans="2:5" x14ac:dyDescent="0.3">
      <c r="B41"/>
      <c r="C41"/>
      <c r="D41"/>
      <c r="E41"/>
    </row>
    <row r="42" spans="2:5" x14ac:dyDescent="0.3">
      <c r="B42"/>
      <c r="C42"/>
      <c r="D42"/>
      <c r="E42"/>
    </row>
    <row r="43" spans="2:5" x14ac:dyDescent="0.3">
      <c r="B43"/>
      <c r="C43"/>
      <c r="D43"/>
      <c r="E43"/>
    </row>
    <row r="44" spans="2:5" x14ac:dyDescent="0.3">
      <c r="B44"/>
      <c r="C44"/>
      <c r="D44"/>
      <c r="E44"/>
    </row>
    <row r="45" spans="2:5" x14ac:dyDescent="0.3">
      <c r="B45"/>
      <c r="C45"/>
      <c r="D45"/>
      <c r="E45"/>
    </row>
    <row r="46" spans="2:5" x14ac:dyDescent="0.3">
      <c r="B46"/>
      <c r="C46"/>
      <c r="D46"/>
      <c r="E46"/>
    </row>
    <row r="47" spans="2:5" x14ac:dyDescent="0.3">
      <c r="B47"/>
      <c r="C47"/>
      <c r="D47"/>
      <c r="E47"/>
    </row>
    <row r="48" spans="2:5" x14ac:dyDescent="0.3">
      <c r="B48"/>
      <c r="C48"/>
      <c r="D48"/>
      <c r="E48"/>
    </row>
    <row r="49" spans="2:13" x14ac:dyDescent="0.3">
      <c r="B49"/>
      <c r="C49"/>
      <c r="D49"/>
      <c r="E49"/>
    </row>
    <row r="50" spans="2:13" x14ac:dyDescent="0.3">
      <c r="B50"/>
      <c r="C50"/>
      <c r="D50"/>
      <c r="E50" s="2"/>
      <c r="F50" s="3"/>
      <c r="G50" s="3"/>
      <c r="H50" s="3"/>
      <c r="I50" s="3"/>
      <c r="J50" s="3"/>
      <c r="K50" s="3"/>
      <c r="L50" s="3"/>
      <c r="M50" s="3"/>
    </row>
    <row r="51" spans="2:13" x14ac:dyDescent="0.3">
      <c r="B51"/>
      <c r="C51"/>
      <c r="D51"/>
    </row>
    <row r="52" spans="2:13" x14ac:dyDescent="0.3">
      <c r="B52"/>
      <c r="C52"/>
      <c r="D52"/>
    </row>
    <row r="53" spans="2:13" x14ac:dyDescent="0.3">
      <c r="B53"/>
      <c r="C53"/>
      <c r="D53"/>
    </row>
    <row r="54" spans="2:13" x14ac:dyDescent="0.3">
      <c r="B54"/>
      <c r="C54"/>
      <c r="D5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Математика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Студенты Левченко Д.О.</dc:creator>
  <cp:lastModifiedBy>Студенты Лазарева А.А.</cp:lastModifiedBy>
  <dcterms:created xsi:type="dcterms:W3CDTF">2026-09-29T10:33:38Z</dcterms:created>
  <dcterms:modified xsi:type="dcterms:W3CDTF">2026-10-06T11:00:40Z</dcterms:modified>
</cp:coreProperties>
</file>