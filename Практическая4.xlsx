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19212" windowHeight="11400" activeTab="1"/>
  </bookViews>
  <sheets>
    <sheet name="Лист1" sheetId="1" r:id="rId1"/>
    <sheet name="Товар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2" i="2"/>
  <c r="E2" i="1"/>
  <c r="G2" i="1"/>
  <c r="F6" i="2"/>
  <c r="F3" i="2"/>
  <c r="F4" i="2"/>
  <c r="F5" i="2"/>
  <c r="F2" i="2"/>
  <c r="E2" i="2"/>
  <c r="E3" i="2"/>
  <c r="E4" i="2"/>
  <c r="E5" i="2"/>
  <c r="B11" i="1"/>
  <c r="B10" i="1"/>
  <c r="B9" i="1"/>
  <c r="C7" i="1"/>
  <c r="D7" i="1"/>
  <c r="E7" i="1"/>
  <c r="F7" i="1"/>
  <c r="B7" i="1"/>
  <c r="K2" i="1"/>
  <c r="J2" i="1"/>
  <c r="E3" i="1"/>
  <c r="F3" i="1" s="1"/>
  <c r="E4" i="1"/>
  <c r="E5" i="1"/>
  <c r="E6" i="1"/>
  <c r="F2" i="1"/>
  <c r="F4" i="1"/>
  <c r="F5" i="1"/>
  <c r="F6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<sst xmlns="http://schemas.openxmlformats.org/spreadsheetml/2006/main" count="31" uniqueCount="31">
  <si>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</si>
  <si>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</si>
  <si>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</si>
  <si>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</si>
  <si>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</si>
  <si>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</si>
  <si>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</si>
  <si>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</si>
  <si>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Кузнецова К.К.</t>
  </si>
  <si>
    <t>Сидоров С.С.</t>
  </si>
  <si>
    <t>Смирнов С.С.</t>
  </si>
  <si>
    <t>№ п/п</t>
  </si>
  <si>
    <t>Ставка НДФЛ:</t>
  </si>
  <si>
    <t>Коэффициент:</t>
  </si>
  <si>
    <t xml:space="preserve"> ИТОГО:</t>
  </si>
  <si>
    <t>Средняя зарплата:</t>
  </si>
  <si>
    <t>Максимум:</t>
  </si>
  <si>
    <t>Минимум:</t>
  </si>
  <si>
    <t>Товар</t>
  </si>
  <si>
    <t>Ноутбук</t>
  </si>
  <si>
    <t>Монитор</t>
  </si>
  <si>
    <t>Клавиатура</t>
  </si>
  <si>
    <t>Мышь</t>
  </si>
  <si>
    <t>Цена за ед.</t>
  </si>
  <si>
    <t>Кол-во</t>
  </si>
  <si>
    <t>Скидка %</t>
  </si>
  <si>
    <t>Стоимость</t>
  </si>
  <si>
    <t>Итого со скидкой</t>
  </si>
  <si>
    <t>итог</t>
  </si>
  <si>
    <t>ндс</t>
  </si>
  <si>
    <t>ндс от стоимости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</si>
</sst>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0" fillId="3" borderId="0" xfId="0" applyFont="1" applyFill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E2" sqref="E2"/>
    </sheetView>
  </sheetViews>
  <sheetFormatPr defaultRowHeight="14.4" x14ac:dyDescent="0.3"/>
  <cols>
    <col min="1" max="1" width="17.6640625" style="2" customWidth="1"/>
    <col min="2" max="2" width="18.88671875" style="3" customWidth="1"/>
    <col min="3" max="3" width="18.21875" style="2" customWidth="1"/>
    <col min="4" max="4" width="19.44140625" style="3" customWidth="1"/>
    <col min="5" max="5" width="23.44140625" style="3" customWidth="1"/>
    <col min="6" max="6" width="22.109375" style="3" customWidth="1"/>
    <col min="7" max="7" width="8.88671875" style="1"/>
    <col min="8" max="8" width="15.88671875" style="1" customWidth="1"/>
    <col min="9" max="9" width="15.6640625" style="1" customWidth="1"/>
    <col min="10" max="11" width="10.33203125" bestFit="1" customWidth="1"/>
  </cols>
  <sheetData>
    <row r="1" spans="1:11" x14ac:dyDescent="0.3">
      <c r="A1" s="6" t="s">
        <v>0</v>
      </c>
      <c r="B1" s="7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4" t="s">
        <v>11</v>
      </c>
      <c r="H1" s="1" t="s">
        <v>12</v>
      </c>
      <c r="I1" s="1" t="s">
        <v>13</v>
      </c>
    </row>
    <row r="2" spans="1:11" x14ac:dyDescent="0.3">
      <c r="A2" s="8" t="s">
        <v>6</v>
      </c>
      <c r="B2" s="9">
        <v>50000</v>
      </c>
      <c r="C2" s="8">
        <v>20</v>
      </c>
      <c r="D2" s="9">
        <f>B2*C2/100</f>
        <v>10000</v>
      </c>
      <c r="E2" s="9">
        <f>(B2+D2)*$H$2</f>
        <v>9000</v>
      </c>
      <c r="F2" s="9">
        <f>B2+D2-E2</f>
        <v>51000</v>
      </c>
      <c r="G2" s="1">
        <f>Лист1!H10</f>
        <v>0</v>
      </c>
      <c r="H2" s="5">
        <v>0.15</v>
      </c>
      <c r="I2" s="1">
        <v>1.5</v>
      </c>
      <c r="J2" s="10">
        <f>B2*I$2</f>
        <v>75000</v>
      </c>
      <c r="K2" s="10">
        <f>B2*I$2</f>
        <v>75000</v>
      </c>
    </row>
    <row r="3" spans="1:11" x14ac:dyDescent="0.3">
      <c r="A3" s="8" t="s">
        <v>7</v>
      </c>
      <c r="B3" s="9">
        <v>45000</v>
      </c>
      <c r="C3" s="8">
        <v>15</v>
      </c>
      <c r="D3" s="9">
        <f t="shared" ref="D3:D6" si="0">B3*C3/100</f>
        <v>6750</v>
      </c>
      <c r="E3" s="9">
        <f t="shared" ref="E3:E6" si="1">(B3+D3)*$H$2</f>
        <v>7762.5</v>
      </c>
      <c r="F3" s="9">
        <f t="shared" ref="F3:F6" si="2">B3+D3-E3</f>
        <v>43987.5</v>
      </c>
      <c r="G3" s="1">
        <v>2</v>
      </c>
    </row>
    <row r="4" spans="1:11" x14ac:dyDescent="0.3">
      <c r="A4" s="8" t="s">
        <v>9</v>
      </c>
      <c r="B4" s="9">
        <v>62000</v>
      </c>
      <c r="C4" s="8">
        <v>25</v>
      </c>
      <c r="D4" s="9">
        <f t="shared" si="0"/>
        <v>15500</v>
      </c>
      <c r="E4" s="9">
        <f t="shared" si="1"/>
        <v>11625</v>
      </c>
      <c r="F4" s="9">
        <f t="shared" si="2"/>
        <v>65875</v>
      </c>
      <c r="G4" s="1">
        <v>3</v>
      </c>
    </row>
    <row r="5" spans="1:11" x14ac:dyDescent="0.3">
      <c r="A5" s="8" t="s">
        <v>8</v>
      </c>
      <c r="B5" s="9">
        <v>55000</v>
      </c>
      <c r="C5" s="8">
        <v>10</v>
      </c>
      <c r="D5" s="9">
        <f t="shared" si="0"/>
        <v>5500</v>
      </c>
      <c r="E5" s="9">
        <f t="shared" si="1"/>
        <v>9075</v>
      </c>
      <c r="F5" s="9">
        <f t="shared" si="2"/>
        <v>51425</v>
      </c>
      <c r="G5" s="1">
        <v>4</v>
      </c>
    </row>
    <row r="6" spans="1:11" x14ac:dyDescent="0.3">
      <c r="A6" s="8" t="s">
        <v>10</v>
      </c>
      <c r="B6" s="9">
        <v>40000</v>
      </c>
      <c r="C6" s="8">
        <v>30</v>
      </c>
      <c r="D6" s="9">
        <f t="shared" si="0"/>
        <v>12000</v>
      </c>
      <c r="E6" s="9">
        <f t="shared" si="1"/>
        <v>7800</v>
      </c>
      <c r="F6" s="9">
        <f t="shared" si="2"/>
        <v>44200</v>
      </c>
      <c r="G6" s="1">
        <v>5</v>
      </c>
    </row>
    <row r="7" spans="1:11" x14ac:dyDescent="0.3">
      <c r="A7" s="2" t="s">
        <v>14</v>
      </c>
      <c r="B7" s="3">
        <f>SUM(B2:B6)</f>
        <v>252000</v>
      </c>
      <c r="C7" s="3">
        <f t="shared" ref="C7:F7" si="3">SUM(C2:C6)</f>
        <v>100</v>
      </c>
      <c r="D7" s="3">
        <f t="shared" si="3"/>
        <v>49750</v>
      </c>
      <c r="E7" s="3">
        <f t="shared" si="3"/>
        <v>45262.5</v>
      </c>
      <c r="F7" s="3">
        <f t="shared" si="3"/>
        <v>256487.5</v>
      </c>
    </row>
    <row r="9" spans="1:11" x14ac:dyDescent="0.3">
      <c r="A9" s="2" t="s">
        <v>15</v>
      </c>
      <c r="B9" s="3">
        <f>AVERAGE(F2:F6)</f>
        <v>51297.5</v>
      </c>
    </row>
    <row r="10" spans="1:11" x14ac:dyDescent="0.3">
      <c r="A10" s="2" t="s">
        <v>16</v>
      </c>
      <c r="B10" s="3">
        <f>MAX(F2:F6)</f>
        <v>65875</v>
      </c>
    </row>
    <row r="11" spans="1:11" x14ac:dyDescent="0.3">
      <c r="A11" s="2" t="s">
        <v>17</v>
      </c>
      <c r="B11" s="3">
        <f>MIN(F2:F6)</f>
        <v>43987.5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topLeftCell="A19" workbookViewId="0">
      <selection activeCell="H7" sqref="H7"/>
    </sheetView>
  </sheetViews>
  <sheetFormatPr defaultRowHeight="14.4" x14ac:dyDescent="0.3"/>
  <cols>
    <col min="1" max="1" width="18.44140625" customWidth="1"/>
    <col min="2" max="2" width="18.6640625" customWidth="1"/>
    <col min="3" max="3" width="16.5546875" customWidth="1"/>
    <col min="4" max="4" width="18" customWidth="1"/>
    <col min="5" max="5" width="15.5546875" customWidth="1"/>
    <col min="6" max="6" width="17.44140625" customWidth="1"/>
    <col min="7" max="7" width="15.88671875" customWidth="1"/>
  </cols>
  <sheetData>
    <row r="1" spans="1:10" x14ac:dyDescent="0.3">
      <c r="A1" t="s">
        <v>18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30</v>
      </c>
      <c r="J1" t="s">
        <v>29</v>
      </c>
    </row>
    <row r="2" spans="1:10" x14ac:dyDescent="0.3">
      <c r="A2" t="s">
        <v>19</v>
      </c>
      <c r="B2">
        <v>45000</v>
      </c>
      <c r="C2">
        <v>5</v>
      </c>
      <c r="D2">
        <v>5</v>
      </c>
      <c r="E2">
        <f>B2*C2</f>
        <v>225000</v>
      </c>
      <c r="F2">
        <f>E2*(1-D2/100)</f>
        <v>213750</v>
      </c>
      <c r="G2">
        <f>E2*$J$2</f>
        <v>45000</v>
      </c>
      <c r="J2">
        <v>0.2</v>
      </c>
    </row>
    <row r="3" spans="1:10" x14ac:dyDescent="0.3">
      <c r="A3" t="s">
        <v>20</v>
      </c>
      <c r="B3">
        <v>18000</v>
      </c>
      <c r="C3">
        <v>10</v>
      </c>
      <c r="D3">
        <v>3</v>
      </c>
      <c r="E3">
        <f t="shared" ref="E3:E5" si="0">B3*C3</f>
        <v>180000</v>
      </c>
      <c r="F3">
        <f t="shared" ref="F3:F5" si="1">E3*(1-D3/100)</f>
        <v>174600</v>
      </c>
      <c r="G3">
        <f t="shared" ref="G3:G5" si="2">E3*$J$2</f>
        <v>36000</v>
      </c>
    </row>
    <row r="4" spans="1:10" x14ac:dyDescent="0.3">
      <c r="A4" t="s">
        <v>21</v>
      </c>
      <c r="B4">
        <v>1500</v>
      </c>
      <c r="C4">
        <v>25</v>
      </c>
      <c r="D4">
        <v>10</v>
      </c>
      <c r="E4">
        <f t="shared" si="0"/>
        <v>37500</v>
      </c>
      <c r="F4">
        <f t="shared" si="1"/>
        <v>33750</v>
      </c>
      <c r="G4">
        <f t="shared" si="2"/>
        <v>7500</v>
      </c>
    </row>
    <row r="5" spans="1:10" x14ac:dyDescent="0.3">
      <c r="A5" t="s">
        <v>22</v>
      </c>
      <c r="B5">
        <v>800</v>
      </c>
      <c r="C5">
        <v>30</v>
      </c>
      <c r="D5">
        <v>7</v>
      </c>
      <c r="E5">
        <f t="shared" si="0"/>
        <v>24000</v>
      </c>
      <c r="F5">
        <f t="shared" si="1"/>
        <v>22320</v>
      </c>
      <c r="G5">
        <f t="shared" si="2"/>
        <v>4800</v>
      </c>
    </row>
    <row r="6" spans="1:10" x14ac:dyDescent="0.3">
      <c r="E6" t="s">
        <v>28</v>
      </c>
      <c r="F6">
        <f>SUM(F2:F5)</f>
        <v>444420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Товары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2026-09-22T10:31:55Z</dcterms:created>
  <dcterms:modified xsi:type="dcterms:W3CDTF">2026-09-22T11:43:15Z</dcterms:modified>
</cp:coreProperties>
</file>